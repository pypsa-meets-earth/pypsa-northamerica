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_tax_credits" sheetId="1" state="visible" r:id="rId3"/>
    <sheet name="investment_tax_credit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<sst xmlns="http://schemas.openxmlformats.org/spreadsheetml/2006/main" count="55" uniqueCount="32">
  <si>
    <t xml:space="preserve">carrier</t>
  </si>
  <si>
    <t xml:space="preserve">tax credit ($/output unit)</t>
  </si>
  <si>
    <t xml:space="preserve">facility lifetime (years)</t>
  </si>
  <si>
    <t xml:space="preserve">credit lifetime (years)</t>
  </si>
  <si>
    <t xml:space="preserve">discount rate (-)</t>
  </si>
  <si>
    <t xml:space="preserve">CRF (-)</t>
  </si>
  <si>
    <t xml:space="preserve">CRF real (-)</t>
  </si>
  <si>
    <t xml:space="preserve">tax rate (-)</t>
  </si>
  <si>
    <t xml:space="preserve">levelized tax credit ($/output unit)</t>
  </si>
  <si>
    <t xml:space="preserve">regime</t>
  </si>
  <si>
    <t xml:space="preserve">nuclear_existing</t>
  </si>
  <si>
    <t xml:space="preserve">nuclear_new</t>
  </si>
  <si>
    <t xml:space="preserve">geothermal</t>
  </si>
  <si>
    <t xml:space="preserve">biomass</t>
  </si>
  <si>
    <t xml:space="preserve">solar</t>
  </si>
  <si>
    <t xml:space="preserve">onwind</t>
  </si>
  <si>
    <t xml:space="preserve">offwind-ac</t>
  </si>
  <si>
    <t xml:space="preserve">offwind-dc</t>
  </si>
  <si>
    <t xml:space="preserve">ethanol from starch CC</t>
  </si>
  <si>
    <t xml:space="preserve">OB3</t>
  </si>
  <si>
    <t xml:space="preserve">SMR CC</t>
  </si>
  <si>
    <t xml:space="preserve">DRI CC</t>
  </si>
  <si>
    <t xml:space="preserve">BF-BOF CC</t>
  </si>
  <si>
    <t xml:space="preserve">dry clinker CC</t>
  </si>
  <si>
    <t xml:space="preserve">DAC</t>
  </si>
  <si>
    <t xml:space="preserve">IRA 2022</t>
  </si>
  <si>
    <t xml:space="preserve">Alkaline electrolyzer large</t>
  </si>
  <si>
    <t xml:space="preserve">PEM electrolyzer</t>
  </si>
  <si>
    <t xml:space="preserve">SOEC</t>
  </si>
  <si>
    <t xml:space="preserve">tax credit (% inv. cost)</t>
  </si>
  <si>
    <t xml:space="preserve">levelized tax credit (% inv. cost)</t>
  </si>
  <si>
    <t xml:space="preserve">battery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</si>
</sst>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J21" activeCellId="0" sqref="I10:J2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3"/>
    <col collapsed="false" customWidth="true" hidden="false" outlineLevel="0" max="2" min="2" style="1" width="21.27"/>
    <col collapsed="false" customWidth="true" hidden="false" outlineLevel="0" max="3" min="3" style="1" width="19.62"/>
    <col collapsed="false" customWidth="true" hidden="false" outlineLevel="0" max="4" min="4" style="1" width="18.93"/>
    <col collapsed="false" customWidth="true" hidden="false" outlineLevel="0" max="5" min="5" style="1" width="12.3"/>
    <col collapsed="false" customWidth="true" hidden="false" outlineLevel="0" max="6" min="6" style="1" width="7.62"/>
    <col collapsed="false" customWidth="true" hidden="false" outlineLevel="0" max="7" min="7" style="1" width="11.27"/>
    <col collapsed="false" customWidth="true" hidden="false" outlineLevel="0" max="8" min="8" style="1" width="10.14"/>
    <col collapsed="false" customWidth="true" hidden="false" outlineLevel="0" max="9" min="9" style="1" width="29.1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customFormat="false" ht="12.8" hidden="false" customHeight="false" outlineLevel="0" collapsed="false">
      <c r="A2" s="1" t="s">
        <v>10</v>
      </c>
      <c r="B2" s="1" t="n">
        <v>-15</v>
      </c>
      <c r="C2" s="1" t="n">
        <v>60</v>
      </c>
      <c r="D2" s="1" t="n">
        <v>9</v>
      </c>
      <c r="E2" s="3" t="n">
        <v>0.0320752195121951</v>
      </c>
      <c r="F2" s="3" t="n">
        <f aca="false">E2/(1-(1/(1+E2)^C2))</f>
        <v>0.0377544133129132</v>
      </c>
      <c r="G2" s="3" t="n">
        <f aca="false">F2/(1-(1/(1+F2)^D2))</f>
        <v>0.133120250116782</v>
      </c>
      <c r="H2" s="1" t="n">
        <v>0.2574</v>
      </c>
      <c r="I2" s="4" t="n">
        <f aca="false">B2/(1-$H$2)*F2/G2</f>
        <v>-5.72875059212375</v>
      </c>
    </row>
    <row r="3" customFormat="false" ht="12.8" hidden="false" customHeight="false" outlineLevel="0" collapsed="false">
      <c r="A3" s="1" t="s">
        <v>11</v>
      </c>
      <c r="B3" s="1" t="n">
        <v>-27.5</v>
      </c>
      <c r="C3" s="1" t="n">
        <v>60</v>
      </c>
      <c r="D3" s="1" t="n">
        <v>10</v>
      </c>
      <c r="E3" s="3" t="n">
        <v>0.0564730561021376</v>
      </c>
      <c r="F3" s="3" t="n">
        <f aca="false">E3/(1-(1/(1+E3)^C3))</f>
        <v>0.058644360583871</v>
      </c>
      <c r="G3" s="3" t="n">
        <f aca="false">F3/(1-(1/(1+F3)^D3))</f>
        <v>0.134996667773367</v>
      </c>
      <c r="I3" s="4" t="n">
        <f aca="false">B3/(1-$H$2)*F3/G3</f>
        <v>-16.0872183226418</v>
      </c>
    </row>
    <row r="4" customFormat="false" ht="12.8" hidden="false" customHeight="false" outlineLevel="0" collapsed="false">
      <c r="A4" s="1" t="s">
        <v>12</v>
      </c>
      <c r="B4" s="1" t="n">
        <v>-27.5</v>
      </c>
      <c r="C4" s="1" t="n">
        <v>30</v>
      </c>
      <c r="D4" s="1" t="n">
        <v>10</v>
      </c>
      <c r="E4" s="3" t="n">
        <v>0.051519516365778</v>
      </c>
      <c r="F4" s="3" t="n">
        <f aca="false">E4/(1-(1/(1+E4)^C4))</f>
        <v>0.0661825298559019</v>
      </c>
      <c r="G4" s="3" t="n">
        <f aca="false">F4/(1-(1/(1+F4)^D4))</f>
        <v>0.139875489551139</v>
      </c>
      <c r="I4" s="4" t="n">
        <f aca="false">B4/(1-$H$2)*F4/G4</f>
        <v>-17.5218312601058</v>
      </c>
    </row>
    <row r="5" customFormat="false" ht="12.8" hidden="false" customHeight="false" outlineLevel="0" collapsed="false">
      <c r="A5" s="1" t="s">
        <v>13</v>
      </c>
      <c r="B5" s="1" t="n">
        <v>-27.5</v>
      </c>
      <c r="C5" s="1" t="n">
        <v>30</v>
      </c>
      <c r="D5" s="1" t="n">
        <v>10</v>
      </c>
      <c r="E5" s="3" t="n">
        <v>0.0538314857296738</v>
      </c>
      <c r="F5" s="3" t="n">
        <f aca="false">E5/(1-(1/(1+E5)^C5))</f>
        <v>0.0679198927879237</v>
      </c>
      <c r="G5" s="3" t="n">
        <f aca="false">F5/(1-(1/(1+F5)^D5))</f>
        <v>0.141011589512446</v>
      </c>
      <c r="I5" s="4" t="n">
        <f aca="false">B5/(1-$H$2)*F5/G5</f>
        <v>-17.8369227964236</v>
      </c>
    </row>
    <row r="6" customFormat="false" ht="12.8" hidden="false" customHeight="false" outlineLevel="0" collapsed="false">
      <c r="A6" s="1" t="s">
        <v>14</v>
      </c>
      <c r="B6" s="1" t="n">
        <v>-27.5</v>
      </c>
      <c r="C6" s="1" t="n">
        <v>35</v>
      </c>
      <c r="D6" s="1" t="n">
        <v>10</v>
      </c>
      <c r="E6" s="3" t="n">
        <v>0.0438437157985803</v>
      </c>
      <c r="F6" s="3" t="n">
        <f aca="false">E6/(1-(1/(1+E6)^C6))</f>
        <v>0.0564065527786497</v>
      </c>
      <c r="G6" s="3" t="n">
        <f aca="false">F6/(1-(1/(1+F6)^D6))</f>
        <v>0.133564295407616</v>
      </c>
      <c r="I6" s="4" t="n">
        <f aca="false">B6/(1-$H$2)*F6/G6</f>
        <v>-15.6392863181404</v>
      </c>
    </row>
    <row r="7" customFormat="false" ht="12.8" hidden="false" customHeight="false" outlineLevel="0" collapsed="false">
      <c r="A7" s="1" t="s">
        <v>15</v>
      </c>
      <c r="B7" s="1" t="n">
        <v>-27.5</v>
      </c>
      <c r="C7" s="1" t="n">
        <v>27</v>
      </c>
      <c r="D7" s="1" t="n">
        <v>10</v>
      </c>
      <c r="E7" s="3" t="n">
        <v>0.0519007613262936</v>
      </c>
      <c r="F7" s="3" t="n">
        <f aca="false">E7/(1-(1/(1+E7)^C7))</f>
        <v>0.0696731977196162</v>
      </c>
      <c r="G7" s="3" t="n">
        <f aca="false">F7/(1-(1/(1+F7)^D7))</f>
        <v>0.142162497334978</v>
      </c>
      <c r="I7" s="4" t="n">
        <f aca="false">B7/(1-$H$2)*F7/G7</f>
        <v>-18.1492401935753</v>
      </c>
    </row>
    <row r="8" customFormat="false" ht="12.8" hidden="false" customHeight="false" outlineLevel="0" collapsed="false">
      <c r="A8" s="1" t="s">
        <v>16</v>
      </c>
      <c r="B8" s="1" t="n">
        <v>-27.5</v>
      </c>
      <c r="C8" s="1" t="n">
        <v>27</v>
      </c>
      <c r="D8" s="1" t="n">
        <v>10</v>
      </c>
      <c r="E8" s="3" t="n">
        <v>0.0515227657596506</v>
      </c>
      <c r="F8" s="3" t="n">
        <f aca="false">E8/(1-(1/(1+E8)^C8))</f>
        <v>0.0693974933274804</v>
      </c>
      <c r="G8" s="3" t="n">
        <f aca="false">F8/(1-(1/(1+F8)^D8))</f>
        <v>0.141981227994836</v>
      </c>
      <c r="I8" s="4" t="n">
        <f aca="false">B8/(1-$H$2)*F8/G8</f>
        <v>-18.100501370732</v>
      </c>
    </row>
    <row r="9" customFormat="false" ht="12.8" hidden="false" customHeight="false" outlineLevel="0" collapsed="false">
      <c r="A9" s="1" t="s">
        <v>17</v>
      </c>
      <c r="B9" s="1" t="n">
        <v>-27.5</v>
      </c>
      <c r="C9" s="1" t="n">
        <v>27</v>
      </c>
      <c r="D9" s="1" t="n">
        <v>10</v>
      </c>
      <c r="E9" s="3" t="n">
        <v>0.0515227657596506</v>
      </c>
      <c r="F9" s="3" t="n">
        <f aca="false">E9/(1-(1/(1+E9)^C9))</f>
        <v>0.0693974933274804</v>
      </c>
      <c r="G9" s="3" t="n">
        <f aca="false">F9/(1-(1/(1+F9)^D9))</f>
        <v>0.141981227994836</v>
      </c>
      <c r="I9" s="4" t="n">
        <f aca="false">B9/(1-$H$2)*F9/G9</f>
        <v>-18.100501370732</v>
      </c>
    </row>
    <row r="10" customFormat="false" ht="12.8" hidden="false" customHeight="false" outlineLevel="0" collapsed="false">
      <c r="A10" s="1" t="s">
        <v>18</v>
      </c>
      <c r="B10" s="1" t="n">
        <v>-85</v>
      </c>
      <c r="C10" s="1" t="n">
        <v>20</v>
      </c>
      <c r="D10" s="1" t="n">
        <v>12</v>
      </c>
      <c r="E10" s="3" t="n">
        <v>0.07</v>
      </c>
      <c r="F10" s="3" t="n">
        <f aca="false">E10/(1-(1/(1+E10)^C10))</f>
        <v>0.0943929257432557</v>
      </c>
      <c r="G10" s="3" t="n">
        <f aca="false">F10/(1-(1/(1+F10)^D10))</f>
        <v>0.142756193054826</v>
      </c>
      <c r="I10" s="4" t="n">
        <f aca="false">B10/(1-$H$2)*F10/G10</f>
        <v>-75.6847656176249</v>
      </c>
      <c r="J10" s="2" t="s">
        <v>19</v>
      </c>
    </row>
    <row r="11" customFormat="false" ht="12.8" hidden="false" customHeight="false" outlineLevel="0" collapsed="false">
      <c r="A11" s="1" t="s">
        <v>20</v>
      </c>
      <c r="B11" s="1" t="n">
        <v>-85</v>
      </c>
      <c r="C11" s="1" t="n">
        <v>20</v>
      </c>
      <c r="D11" s="1" t="n">
        <v>12</v>
      </c>
      <c r="E11" s="3" t="n">
        <v>0.07</v>
      </c>
      <c r="F11" s="3" t="n">
        <f aca="false">E11/(1-(1/(1+E11)^C11))</f>
        <v>0.0943929257432557</v>
      </c>
      <c r="G11" s="3" t="n">
        <f aca="false">F11/(1-(1/(1+F11)^D11))</f>
        <v>0.142756193054826</v>
      </c>
      <c r="I11" s="4" t="n">
        <f aca="false">B11/(1-$H$2)*F11/G11</f>
        <v>-75.6847656176249</v>
      </c>
      <c r="J11" s="2" t="s">
        <v>19</v>
      </c>
    </row>
    <row r="12" customFormat="false" ht="12.8" hidden="false" customHeight="false" outlineLevel="0" collapsed="false">
      <c r="A12" s="1" t="s">
        <v>21</v>
      </c>
      <c r="B12" s="1" t="n">
        <v>-85</v>
      </c>
      <c r="C12" s="1" t="n">
        <v>20</v>
      </c>
      <c r="D12" s="1" t="n">
        <v>12</v>
      </c>
      <c r="E12" s="3" t="n">
        <v>0.07</v>
      </c>
      <c r="F12" s="3" t="n">
        <f aca="false">E12/(1-(1/(1+E12)^C12))</f>
        <v>0.0943929257432557</v>
      </c>
      <c r="G12" s="3" t="n">
        <f aca="false">F12/(1-(1/(1+F12)^D12))</f>
        <v>0.142756193054826</v>
      </c>
      <c r="I12" s="4" t="n">
        <f aca="false">B12/(1-$H$2)*F12/G12</f>
        <v>-75.6847656176249</v>
      </c>
      <c r="J12" s="2" t="s">
        <v>19</v>
      </c>
    </row>
    <row r="13" customFormat="false" ht="12.8" hidden="false" customHeight="false" outlineLevel="0" collapsed="false">
      <c r="A13" s="1" t="s">
        <v>22</v>
      </c>
      <c r="B13" s="1" t="n">
        <v>-85</v>
      </c>
      <c r="C13" s="1" t="n">
        <v>20</v>
      </c>
      <c r="D13" s="1" t="n">
        <v>12</v>
      </c>
      <c r="E13" s="3" t="n">
        <v>0.07</v>
      </c>
      <c r="F13" s="3" t="n">
        <f aca="false">E13/(1-(1/(1+E13)^C13))</f>
        <v>0.0943929257432557</v>
      </c>
      <c r="G13" s="3" t="n">
        <f aca="false">F13/(1-(1/(1+F13)^D13))</f>
        <v>0.142756193054826</v>
      </c>
      <c r="I13" s="4" t="n">
        <f aca="false">B13/(1-$H$2)*F13/G13</f>
        <v>-75.6847656176249</v>
      </c>
      <c r="J13" s="2" t="s">
        <v>19</v>
      </c>
    </row>
    <row r="14" customFormat="false" ht="12.8" hidden="false" customHeight="false" outlineLevel="0" collapsed="false">
      <c r="A14" s="1" t="s">
        <v>23</v>
      </c>
      <c r="B14" s="1" t="n">
        <v>-85</v>
      </c>
      <c r="C14" s="1" t="n">
        <v>20</v>
      </c>
      <c r="D14" s="1" t="n">
        <v>12</v>
      </c>
      <c r="E14" s="3" t="n">
        <v>0.07</v>
      </c>
      <c r="F14" s="3" t="n">
        <f aca="false">E14/(1-(1/(1+E14)^C14))</f>
        <v>0.0943929257432557</v>
      </c>
      <c r="G14" s="3" t="n">
        <f aca="false">F14/(1-(1/(1+F14)^D14))</f>
        <v>0.142756193054826</v>
      </c>
      <c r="I14" s="4" t="n">
        <f aca="false">B14/(1-$H$2)*F14/G14</f>
        <v>-75.6847656176249</v>
      </c>
      <c r="J14" s="2" t="s">
        <v>19</v>
      </c>
    </row>
    <row r="15" customFormat="false" ht="12.8" hidden="false" customHeight="false" outlineLevel="0" collapsed="false">
      <c r="A15" s="1" t="s">
        <v>24</v>
      </c>
      <c r="B15" s="1" t="n">
        <v>-180</v>
      </c>
      <c r="C15" s="1" t="n">
        <v>30</v>
      </c>
      <c r="D15" s="1" t="n">
        <v>12</v>
      </c>
      <c r="E15" s="3" t="n">
        <v>0.1</v>
      </c>
      <c r="F15" s="3" t="n">
        <f aca="false">E15/(1-(1/(1+E15)^C15))</f>
        <v>0.106079248252634</v>
      </c>
      <c r="G15" s="3" t="n">
        <f aca="false">F15/(1-(1/(1+F15)^D15))</f>
        <v>0.151161597709284</v>
      </c>
      <c r="I15" s="4" t="n">
        <f aca="false">B15/(1-$H$2)*F15/G15</f>
        <v>-170.10086418676</v>
      </c>
      <c r="J15" s="2" t="s">
        <v>19</v>
      </c>
    </row>
    <row r="16" customFormat="false" ht="12.8" hidden="false" customHeight="false" outlineLevel="0" collapsed="false">
      <c r="A16" s="1" t="s">
        <v>18</v>
      </c>
      <c r="B16" s="1" t="n">
        <v>-60</v>
      </c>
      <c r="C16" s="1" t="n">
        <v>20</v>
      </c>
      <c r="D16" s="1" t="n">
        <v>12</v>
      </c>
      <c r="E16" s="3" t="n">
        <v>0.07</v>
      </c>
      <c r="F16" s="3" t="n">
        <f aca="false">E16/(1-(1/(1+E16)^C16))</f>
        <v>0.0943929257432557</v>
      </c>
      <c r="G16" s="3" t="n">
        <f aca="false">F16/(1-(1/(1+F16)^D16))</f>
        <v>0.142756193054826</v>
      </c>
      <c r="I16" s="4" t="n">
        <f aca="false">B16/(1-$H$2)*F16/G16</f>
        <v>-53.4245404359705</v>
      </c>
      <c r="J16" s="2" t="s">
        <v>25</v>
      </c>
    </row>
    <row r="17" customFormat="false" ht="12.8" hidden="false" customHeight="false" outlineLevel="0" collapsed="false">
      <c r="A17" s="1" t="s">
        <v>20</v>
      </c>
      <c r="B17" s="1" t="n">
        <v>-60</v>
      </c>
      <c r="C17" s="1" t="n">
        <v>20</v>
      </c>
      <c r="D17" s="1" t="n">
        <v>12</v>
      </c>
      <c r="E17" s="3" t="n">
        <v>0.07</v>
      </c>
      <c r="F17" s="3" t="n">
        <f aca="false">E17/(1-(1/(1+E17)^C17))</f>
        <v>0.0943929257432557</v>
      </c>
      <c r="G17" s="3" t="n">
        <f aca="false">F17/(1-(1/(1+F17)^D17))</f>
        <v>0.142756193054826</v>
      </c>
      <c r="I17" s="4" t="n">
        <f aca="false">B17/(1-$H$2)*F17/G17</f>
        <v>-53.4245404359705</v>
      </c>
      <c r="J17" s="2" t="s">
        <v>25</v>
      </c>
    </row>
    <row r="18" customFormat="false" ht="12.8" hidden="false" customHeight="false" outlineLevel="0" collapsed="false">
      <c r="A18" s="1" t="s">
        <v>21</v>
      </c>
      <c r="B18" s="1" t="n">
        <v>-60</v>
      </c>
      <c r="C18" s="1" t="n">
        <v>20</v>
      </c>
      <c r="D18" s="1" t="n">
        <v>12</v>
      </c>
      <c r="E18" s="3" t="n">
        <v>0.07</v>
      </c>
      <c r="F18" s="3" t="n">
        <f aca="false">E18/(1-(1/(1+E18)^C18))</f>
        <v>0.0943929257432557</v>
      </c>
      <c r="G18" s="3" t="n">
        <f aca="false">F18/(1-(1/(1+F18)^D18))</f>
        <v>0.142756193054826</v>
      </c>
      <c r="I18" s="4" t="n">
        <f aca="false">B18/(1-$H$2)*F18/G18</f>
        <v>-53.4245404359705</v>
      </c>
      <c r="J18" s="2" t="s">
        <v>25</v>
      </c>
    </row>
    <row r="19" customFormat="false" ht="12.8" hidden="false" customHeight="false" outlineLevel="0" collapsed="false">
      <c r="A19" s="1" t="s">
        <v>22</v>
      </c>
      <c r="B19" s="1" t="n">
        <v>-60</v>
      </c>
      <c r="C19" s="1" t="n">
        <v>20</v>
      </c>
      <c r="D19" s="1" t="n">
        <v>12</v>
      </c>
      <c r="E19" s="3" t="n">
        <v>0.07</v>
      </c>
      <c r="F19" s="3" t="n">
        <f aca="false">E19/(1-(1/(1+E19)^C19))</f>
        <v>0.0943929257432557</v>
      </c>
      <c r="G19" s="3" t="n">
        <f aca="false">F19/(1-(1/(1+F19)^D19))</f>
        <v>0.142756193054826</v>
      </c>
      <c r="I19" s="4" t="n">
        <f aca="false">B19/(1-$H$2)*F19/G19</f>
        <v>-53.4245404359705</v>
      </c>
      <c r="J19" s="2" t="s">
        <v>25</v>
      </c>
    </row>
    <row r="20" customFormat="false" ht="12.8" hidden="false" customHeight="false" outlineLevel="0" collapsed="false">
      <c r="A20" s="1" t="s">
        <v>23</v>
      </c>
      <c r="B20" s="1" t="n">
        <v>-60</v>
      </c>
      <c r="C20" s="1" t="n">
        <v>20</v>
      </c>
      <c r="D20" s="1" t="n">
        <v>12</v>
      </c>
      <c r="E20" s="3" t="n">
        <v>0.07</v>
      </c>
      <c r="F20" s="3" t="n">
        <f aca="false">E20/(1-(1/(1+E20)^C20))</f>
        <v>0.0943929257432557</v>
      </c>
      <c r="G20" s="3" t="n">
        <f aca="false">F20/(1-(1/(1+F20)^D20))</f>
        <v>0.142756193054826</v>
      </c>
      <c r="I20" s="4" t="n">
        <f aca="false">B20/(1-$H$2)*F20/G20</f>
        <v>-53.4245404359705</v>
      </c>
      <c r="J20" s="2" t="s">
        <v>25</v>
      </c>
    </row>
    <row r="21" customFormat="false" ht="12.8" hidden="false" customHeight="false" outlineLevel="0" collapsed="false">
      <c r="A21" s="1" t="s">
        <v>24</v>
      </c>
      <c r="B21" s="1" t="n">
        <v>-130</v>
      </c>
      <c r="C21" s="1" t="n">
        <v>30</v>
      </c>
      <c r="D21" s="1" t="n">
        <v>12</v>
      </c>
      <c r="E21" s="3" t="n">
        <v>0.1</v>
      </c>
      <c r="F21" s="3" t="n">
        <f aca="false">E21/(1-(1/(1+E21)^C21))</f>
        <v>0.106079248252634</v>
      </c>
      <c r="G21" s="3" t="n">
        <f aca="false">F21/(1-(1/(1+F21)^D21))</f>
        <v>0.151161597709284</v>
      </c>
      <c r="I21" s="4" t="n">
        <f aca="false">B21/(1-$H$2)*F21/G21</f>
        <v>-122.850624134882</v>
      </c>
      <c r="J21" s="2" t="s">
        <v>25</v>
      </c>
    </row>
    <row r="22" customFormat="false" ht="12.8" hidden="false" customHeight="false" outlineLevel="0" collapsed="false">
      <c r="A22" s="1" t="s">
        <v>26</v>
      </c>
      <c r="B22" s="1" t="n">
        <v>-90</v>
      </c>
      <c r="C22" s="1" t="n">
        <v>30</v>
      </c>
      <c r="D22" s="1" t="n">
        <v>10</v>
      </c>
      <c r="E22" s="3" t="n">
        <v>0.1</v>
      </c>
      <c r="F22" s="3" t="n">
        <f aca="false">E22/(1-(1/(1+E22)^C22))</f>
        <v>0.106079248252634</v>
      </c>
      <c r="G22" s="3" t="n">
        <f aca="false">F22/(1-(1/(1+F22)^D22))</f>
        <v>0.167019608595705</v>
      </c>
      <c r="I22" s="4" t="n">
        <f aca="false">B22/(1-$H$2)*F22/G22</f>
        <v>-76.9751486618614</v>
      </c>
    </row>
    <row r="23" customFormat="false" ht="12.8" hidden="false" customHeight="false" outlineLevel="0" collapsed="false">
      <c r="A23" s="1" t="s">
        <v>27</v>
      </c>
      <c r="B23" s="1" t="n">
        <v>-90</v>
      </c>
      <c r="C23" s="1" t="n">
        <v>30</v>
      </c>
      <c r="D23" s="1" t="n">
        <v>10</v>
      </c>
      <c r="E23" s="3" t="n">
        <v>0.1</v>
      </c>
      <c r="F23" s="3" t="n">
        <f aca="false">E23/(1-(1/(1+E23)^C23))</f>
        <v>0.106079248252634</v>
      </c>
      <c r="G23" s="3" t="n">
        <f aca="false">F23/(1-(1/(1+F23)^D23))</f>
        <v>0.167019608595705</v>
      </c>
      <c r="I23" s="4" t="n">
        <f aca="false">B23/(1-$H$2)*F23/G23</f>
        <v>-76.9751486618614</v>
      </c>
    </row>
    <row r="24" customFormat="false" ht="12.8" hidden="false" customHeight="false" outlineLevel="0" collapsed="false">
      <c r="A24" s="1" t="s">
        <v>28</v>
      </c>
      <c r="B24" s="1" t="n">
        <v>-90</v>
      </c>
      <c r="C24" s="1" t="n">
        <v>30</v>
      </c>
      <c r="D24" s="1" t="n">
        <v>10</v>
      </c>
      <c r="E24" s="3" t="n">
        <v>0.1</v>
      </c>
      <c r="F24" s="3" t="n">
        <f aca="false">E24/(1-(1/(1+E24)^C24))</f>
        <v>0.106079248252634</v>
      </c>
      <c r="G24" s="3" t="n">
        <f aca="false">F24/(1-(1/(1+F24)^D24))</f>
        <v>0.167019608595705</v>
      </c>
      <c r="I24" s="4" t="n">
        <f aca="false">B24/(1-$H$2)*F24/G24</f>
        <v>-76.9751486618614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H5" activeCellId="1" sqref="I10:J21 H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29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30</v>
      </c>
    </row>
    <row r="2" customFormat="false" ht="12.8" hidden="false" customHeight="false" outlineLevel="0" collapsed="false">
      <c r="A2" s="1" t="s">
        <v>31</v>
      </c>
      <c r="B2" s="1" t="n">
        <v>-30</v>
      </c>
      <c r="C2" s="1" t="n">
        <v>20</v>
      </c>
      <c r="D2" s="1" t="n">
        <v>10</v>
      </c>
      <c r="E2" s="1" t="n">
        <v>0.07</v>
      </c>
      <c r="F2" s="3" t="n">
        <f aca="false">$E$2/(1-(1/(1+$E$2)^C2))</f>
        <v>0.0943929257432557</v>
      </c>
      <c r="G2" s="3" t="n">
        <f aca="false">F2/(1-(1/(1+F2)^D2))</f>
        <v>0.158845968886606</v>
      </c>
      <c r="H2" s="1" t="n">
        <v>0.2574</v>
      </c>
      <c r="I2" s="4" t="n">
        <f aca="false">B2/(1-$H$2)*F2/G2</f>
        <v>-24.0065393594822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2025-11-04T13:54:49Z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